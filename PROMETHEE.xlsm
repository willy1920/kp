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3"/>
  </bookViews>
  <sheets>
    <sheet name="Sheet1" sheetId="1" state="visible" r:id="rId3"/>
    <sheet name="Sheet2" sheetId="2" state="visible" r:id="rId4"/>
    <sheet name="uji" sheetId="3" state="visible" r:id="rId5"/>
    <sheet name="test" sheetId="4" state="visible" r:id="rId6"/>
  </sheets>
  <definedNames>
    <definedName function="true" hidden="false" name="PROMETHEE1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<sst xmlns="http://schemas.openxmlformats.org/spreadsheetml/2006/main" count="107" uniqueCount="33">
  <si>
    <t xml:space="preserve">No</t>
  </si>
  <si>
    <t xml:space="preserve">Kriteria</t>
  </si>
  <si>
    <t xml:space="preserve">Alternatif</t>
  </si>
  <si>
    <t xml:space="preserve">F2 Penghasilan</t>
  </si>
  <si>
    <t xml:space="preserve">F4 PBB</t>
  </si>
  <si>
    <t xml:space="preserve">A</t>
  </si>
  <si>
    <t xml:space="preserve">B</t>
  </si>
  <si>
    <t xml:space="preserve">C</t>
  </si>
  <si>
    <t xml:space="preserve">D</t>
  </si>
  <si>
    <t xml:space="preserve">IPK</t>
  </si>
  <si>
    <t xml:space="preserve">Penghasilan</t>
  </si>
  <si>
    <t xml:space="preserve">Listrik</t>
  </si>
  <si>
    <t xml:space="preserve">PBB</t>
  </si>
  <si>
    <t xml:space="preserve">F3 Listrik</t>
  </si>
  <si>
    <t xml:space="preserve">F5 Asuransi</t>
  </si>
  <si>
    <t xml:space="preserve">Asuransi</t>
  </si>
  <si>
    <t xml:space="preserve">K</t>
  </si>
  <si>
    <t xml:space="preserve">F1 IPK</t>
  </si>
  <si>
    <r>
      <rPr>
        <sz val="20"/>
        <color rgb="FF000000"/>
        <rFont val="Calibri"/>
        <family val="2"/>
        <charset val="1"/>
      </rPr>
      <t xml:space="preserve">Leaving Flow ϕ</t>
    </r>
    <r>
      <rPr>
        <sz val="17"/>
        <color rgb="FF000000"/>
        <rFont val="Calibri"/>
        <family val="2"/>
        <charset val="1"/>
      </rPr>
      <t xml:space="preserve">+</t>
    </r>
  </si>
  <si>
    <t xml:space="preserve">Entering Flow ϕ-</t>
  </si>
  <si>
    <t xml:space="preserve">Net Flow ϕ</t>
  </si>
  <si>
    <t xml:space="preserve">Indeks Preferensi</t>
  </si>
  <si>
    <t xml:space="preserve">F2</t>
  </si>
  <si>
    <t xml:space="preserve">F4</t>
  </si>
  <si>
    <t xml:space="preserve">F3</t>
  </si>
  <si>
    <t xml:space="preserve">F5</t>
  </si>
  <si>
    <t xml:space="preserve">&lt;--- SOLUSI</t>
  </si>
  <si>
    <t xml:space="preserve">Processor</t>
  </si>
  <si>
    <t xml:space="preserve">vga</t>
  </si>
  <si>
    <t xml:space="preserve">ram</t>
  </si>
  <si>
    <t xml:space="preserve">hdd</t>
  </si>
  <si>
    <t xml:space="preserve">ukuran</t>
  </si>
  <si>
    <t xml:space="preserve">processor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</si>
</sst>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0"/>
      <color rgb="FF000000"/>
      <name val="Calibri"/>
      <family val="2"/>
      <charset val="1"/>
    </font>
    <font>
      <sz val="17"/>
      <color rgb="FF000000"/>
      <name val="Calibri"/>
      <family val="2"/>
      <charset val="1"/>
    </font>
    <font>
      <b val="true"/>
      <sz val="20"/>
      <color rgb="FF000000"/>
      <name val="Calibri"/>
      <family val="2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00FF00"/>
        <bgColor rgb="FF33CCCC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33CCCC"/>
      </patternFill>
    </fill>
    <fill>
      <patternFill patternType="solid">
        <fgColor rgb="FF66FFFF"/>
        <bgColor rgb="FF33CCCC"/>
      </patternFill>
    </fill>
    <fill>
      <patternFill patternType="solid">
        <fgColor rgb="FF99FF66"/>
        <bgColor rgb="FF99CC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99FF66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23"/>
  <sheetViews>
    <sheetView windowProtection="false" showFormulas="false" showGridLines="true" showRowColHeaders="true" showZeros="true" rightToLeft="false" tabSelected="false" showOutlineSymbols="true" defaultGridColor="true" view="normal" topLeftCell="A13" colorId="64" zoomScale="85" zoomScaleNormal="85" zoomScalePageLayoutView="100" workbookViewId="0">
      <selection pane="topLeft" activeCell="B21" activeCellId="0" sqref="B21"/>
    </sheetView>
  </sheetViews>
  <sheetFormatPr defaultRowHeight="26.25"/>
  <cols>
    <col collapsed="false" hidden="false" max="1" min="1" style="1" width="7.49797570850202"/>
    <col collapsed="false" hidden="false" max="2" min="2" style="1" width="18.1012145748988"/>
    <col collapsed="false" hidden="false" max="3" min="3" style="1" width="8.67611336032389"/>
    <col collapsed="false" hidden="false" max="6" min="4" style="1" width="8.78542510121457"/>
    <col collapsed="false" hidden="false" max="7" min="7" style="1" width="4.06882591093117"/>
    <col collapsed="false" hidden="false" max="8" min="8" style="1" width="24.1012145748988"/>
    <col collapsed="false" hidden="false" max="9" min="9" style="1" width="23.8866396761134"/>
    <col collapsed="false" hidden="false" max="10" min="10" style="1" width="22.2793522267206"/>
    <col collapsed="false" hidden="false" max="11" min="11" style="1" width="9"/>
    <col collapsed="false" hidden="false" max="12" min="12" style="1" width="3.42914979757085"/>
    <col collapsed="false" hidden="false" max="13" min="13" style="1" width="17.3522267206478"/>
    <col collapsed="false" hidden="false" max="1025" min="14" style="1" width="9"/>
  </cols>
  <sheetData>
    <row r="1" customFormat="false" ht="26.25" hidden="false" customHeight="false" outlineLevel="0" collapsed="false">
      <c r="A1" s="2" t="s">
        <v>0</v>
      </c>
      <c r="B1" s="2" t="s">
        <v>1</v>
      </c>
      <c r="C1" s="2" t="s">
        <v>2</v>
      </c>
      <c r="D1" s="2"/>
      <c r="E1" s="2"/>
      <c r="F1" s="2"/>
      <c r="G1" s="0"/>
      <c r="H1" s="1" t="s">
        <v>3</v>
      </c>
      <c r="I1" s="3" t="n">
        <f aca="false">PROMETHEE1(C4,D4)</f>
        <v>0</v>
      </c>
      <c r="J1" s="3" t="n">
        <f aca="false">PROMETHEE1(C4,E4)</f>
        <v>0</v>
      </c>
      <c r="K1" s="3" t="n">
        <f aca="false">PROMETHEE1(C4,F4)</f>
        <v>1</v>
      </c>
      <c r="M1" s="1" t="s">
        <v>4</v>
      </c>
      <c r="N1" s="3" t="n">
        <f aca="false">PROMETHEE1(C6,D6)</f>
        <v>1</v>
      </c>
      <c r="O1" s="3" t="n">
        <f aca="false">PROMETHEE1(C6,E6)</f>
        <v>0</v>
      </c>
      <c r="P1" s="3" t="n">
        <f aca="false">PROMETHEE1(C6,F6)</f>
        <v>1</v>
      </c>
    </row>
    <row r="2" customFormat="false" ht="26.25" hidden="false" customHeight="false" outlineLevel="0" collapsed="false">
      <c r="A2" s="2"/>
      <c r="B2" s="2"/>
      <c r="C2" s="4" t="s">
        <v>5</v>
      </c>
      <c r="D2" s="4" t="s">
        <v>6</v>
      </c>
      <c r="E2" s="4" t="s">
        <v>7</v>
      </c>
      <c r="F2" s="4" t="s">
        <v>8</v>
      </c>
      <c r="G2" s="0"/>
      <c r="H2" s="0"/>
      <c r="I2" s="3" t="n">
        <f aca="false">PROMETHEE1(D4,C4)</f>
        <v>1</v>
      </c>
      <c r="J2" s="3" t="n">
        <f aca="false">PROMETHEE1(D4,E4)</f>
        <v>1</v>
      </c>
      <c r="K2" s="3" t="n">
        <f aca="false">PROMETHEE1(D4,F4)</f>
        <v>1</v>
      </c>
      <c r="M2" s="0"/>
      <c r="N2" s="3" t="n">
        <f aca="false">PROMETHEE1(D6,C6)</f>
        <v>0</v>
      </c>
      <c r="O2" s="3" t="n">
        <f aca="false">PROMETHEE1(D6,E6)</f>
        <v>0</v>
      </c>
      <c r="P2" s="3" t="n">
        <f aca="false">PROMETHEE1(D6,F6)</f>
        <v>0</v>
      </c>
    </row>
    <row r="3" customFormat="false" ht="26.25" hidden="false" customHeight="false" outlineLevel="0" collapsed="false">
      <c r="A3" s="3" t="n">
        <v>1</v>
      </c>
      <c r="B3" s="5" t="s">
        <v>9</v>
      </c>
      <c r="C3" s="3" t="n">
        <v>3</v>
      </c>
      <c r="D3" s="3" t="n">
        <v>2</v>
      </c>
      <c r="E3" s="3" t="n">
        <v>1</v>
      </c>
      <c r="F3" s="3" t="n">
        <v>3</v>
      </c>
      <c r="G3" s="0"/>
      <c r="H3" s="0"/>
      <c r="I3" s="3" t="n">
        <f aca="false">PROMETHEE1(E4,C4)</f>
        <v>0</v>
      </c>
      <c r="J3" s="3" t="n">
        <f aca="false">PROMETHEE1(E4,D4)</f>
        <v>0</v>
      </c>
      <c r="K3" s="3" t="n">
        <f aca="false">PROMETHEE1(E4,F4)</f>
        <v>1</v>
      </c>
      <c r="M3" s="0"/>
      <c r="N3" s="3" t="n">
        <f aca="false">PROMETHEE1(E6,C6)</f>
        <v>0</v>
      </c>
      <c r="O3" s="3" t="n">
        <f aca="false">PROMETHEE1(E6,D6)</f>
        <v>1</v>
      </c>
      <c r="P3" s="3" t="n">
        <f aca="false">PROMETHEE1(E6,F6)</f>
        <v>1</v>
      </c>
    </row>
    <row r="4" customFormat="false" ht="26.25" hidden="false" customHeight="false" outlineLevel="0" collapsed="false">
      <c r="A4" s="3" t="n">
        <v>2</v>
      </c>
      <c r="B4" s="5" t="s">
        <v>10</v>
      </c>
      <c r="C4" s="3" t="n">
        <v>2</v>
      </c>
      <c r="D4" s="3" t="n">
        <v>3</v>
      </c>
      <c r="E4" s="3" t="n">
        <v>2</v>
      </c>
      <c r="F4" s="3" t="n">
        <v>1</v>
      </c>
      <c r="G4" s="0"/>
      <c r="H4" s="0"/>
      <c r="I4" s="3" t="n">
        <f aca="false">PROMETHEE1(F4,C4)</f>
        <v>0</v>
      </c>
      <c r="J4" s="3" t="n">
        <f aca="false">PROMETHEE1(F4,D4)</f>
        <v>0</v>
      </c>
      <c r="K4" s="3" t="n">
        <f aca="false">PROMETHEE1(F4,E4)</f>
        <v>0</v>
      </c>
      <c r="M4" s="0"/>
      <c r="N4" s="3" t="n">
        <f aca="false">PROMETHEE1(F6,C6)</f>
        <v>0</v>
      </c>
      <c r="O4" s="3" t="n">
        <f aca="false">PROMETHEE1(F6,D6)</f>
        <v>0</v>
      </c>
      <c r="P4" s="3" t="n">
        <f aca="false">PROMETHEE1(F6,E6)</f>
        <v>0</v>
      </c>
    </row>
    <row r="5" customFormat="false" ht="26.25" hidden="false" customHeight="false" outlineLevel="0" collapsed="false">
      <c r="A5" s="3" t="n">
        <v>3</v>
      </c>
      <c r="B5" s="5" t="s">
        <v>11</v>
      </c>
      <c r="C5" s="3" t="n">
        <v>1</v>
      </c>
      <c r="D5" s="3" t="n">
        <v>3</v>
      </c>
      <c r="E5" s="3" t="n">
        <v>3</v>
      </c>
      <c r="F5" s="3" t="n">
        <v>2</v>
      </c>
      <c r="G5" s="0"/>
      <c r="H5" s="0"/>
      <c r="I5" s="0"/>
      <c r="J5" s="0"/>
      <c r="K5" s="0"/>
      <c r="M5" s="0"/>
      <c r="N5" s="0"/>
      <c r="O5" s="0"/>
      <c r="P5" s="0"/>
    </row>
    <row r="6" customFormat="false" ht="26.25" hidden="false" customHeight="false" outlineLevel="0" collapsed="false">
      <c r="A6" s="3" t="n">
        <v>4</v>
      </c>
      <c r="B6" s="5" t="s">
        <v>12</v>
      </c>
      <c r="C6" s="3" t="n">
        <v>2</v>
      </c>
      <c r="D6" s="3" t="n">
        <v>1</v>
      </c>
      <c r="E6" s="3" t="n">
        <v>2</v>
      </c>
      <c r="F6" s="3" t="n">
        <v>1</v>
      </c>
      <c r="G6" s="0"/>
      <c r="H6" s="1" t="s">
        <v>13</v>
      </c>
      <c r="I6" s="3" t="n">
        <f aca="false">PROMETHEE1(C5,D5)</f>
        <v>0</v>
      </c>
      <c r="J6" s="3" t="n">
        <f aca="false">PROMETHEE1(C5,E5)</f>
        <v>0</v>
      </c>
      <c r="K6" s="3" t="n">
        <f aca="false">PROMETHEE1(C5,F5)</f>
        <v>0</v>
      </c>
      <c r="M6" s="1" t="s">
        <v>14</v>
      </c>
      <c r="N6" s="3" t="n">
        <f aca="false">PROMETHEE1(C7,D7)</f>
        <v>1</v>
      </c>
      <c r="O6" s="3" t="n">
        <f aca="false">PROMETHEE1(C7,E7)</f>
        <v>1</v>
      </c>
      <c r="P6" s="3" t="n">
        <f aca="false">PROMETHEE1(C7,F7)</f>
        <v>1</v>
      </c>
    </row>
    <row r="7" customFormat="false" ht="26.25" hidden="false" customHeight="false" outlineLevel="0" collapsed="false">
      <c r="A7" s="3" t="n">
        <v>5</v>
      </c>
      <c r="B7" s="5" t="s">
        <v>15</v>
      </c>
      <c r="C7" s="3" t="n">
        <v>3</v>
      </c>
      <c r="D7" s="3" t="n">
        <v>2</v>
      </c>
      <c r="E7" s="3" t="n">
        <v>1</v>
      </c>
      <c r="F7" s="3" t="n">
        <v>2</v>
      </c>
      <c r="G7" s="0"/>
      <c r="H7" s="0"/>
      <c r="I7" s="3" t="n">
        <f aca="false">PROMETHEE1(D5,C5)</f>
        <v>1</v>
      </c>
      <c r="J7" s="3" t="n">
        <f aca="false">PROMETHEE1(D5,E5)</f>
        <v>0</v>
      </c>
      <c r="K7" s="3" t="n">
        <f aca="false">PROMETHEE1(D5,F5)</f>
        <v>1</v>
      </c>
      <c r="N7" s="3" t="n">
        <f aca="false">PROMETHEE1(D7,C7)</f>
        <v>0</v>
      </c>
      <c r="O7" s="3" t="n">
        <f aca="false">PROMETHEE1(D7,E7)</f>
        <v>1</v>
      </c>
      <c r="P7" s="3" t="n">
        <f aca="false">PROMETHEE1(D7,F7)</f>
        <v>0</v>
      </c>
    </row>
    <row r="8" customFormat="false" ht="26.25" hidden="false" customHeight="false" outlineLevel="0" collapsed="false">
      <c r="A8" s="6" t="s">
        <v>16</v>
      </c>
      <c r="B8" s="6" t="n">
        <v>5</v>
      </c>
      <c r="C8" s="0"/>
      <c r="D8" s="0"/>
      <c r="E8" s="0"/>
      <c r="G8" s="0"/>
      <c r="H8" s="0"/>
      <c r="I8" s="3" t="n">
        <f aca="false">PROMETHEE1(E5,C5)</f>
        <v>1</v>
      </c>
      <c r="J8" s="3" t="n">
        <f aca="false">PROMETHEE1(E5,D5)</f>
        <v>0</v>
      </c>
      <c r="K8" s="3" t="n">
        <f aca="false">PROMETHEE1(E5,F5)</f>
        <v>1</v>
      </c>
      <c r="N8" s="3" t="n">
        <f aca="false">PROMETHEE1(E7,C7)</f>
        <v>0</v>
      </c>
      <c r="O8" s="3" t="n">
        <f aca="false">PROMETHEE1(E7,D7)</f>
        <v>0</v>
      </c>
      <c r="P8" s="3" t="n">
        <f aca="false">PROMETHEE1(E7,F7)</f>
        <v>0</v>
      </c>
    </row>
    <row r="9" customFormat="false" ht="26.25" hidden="false" customHeight="false" outlineLevel="0" collapsed="false">
      <c r="A9" s="0"/>
      <c r="B9" s="1" t="s">
        <v>17</v>
      </c>
      <c r="C9" s="3" t="n">
        <f aca="false">PROMETHEE1(C3,D3)</f>
        <v>1</v>
      </c>
      <c r="D9" s="3" t="n">
        <f aca="false">PROMETHEE1(C3,E3)</f>
        <v>1</v>
      </c>
      <c r="E9" s="3" t="n">
        <f aca="false">PROMETHEE1(C3,F3)</f>
        <v>0</v>
      </c>
      <c r="G9" s="0"/>
      <c r="H9" s="0"/>
      <c r="I9" s="3" t="n">
        <f aca="false">PROMETHEE1(F5,C5)</f>
        <v>1</v>
      </c>
      <c r="J9" s="3" t="n">
        <f aca="false">PROMETHEE1(F5,D5)</f>
        <v>0</v>
      </c>
      <c r="K9" s="3" t="n">
        <f aca="false">PROMETHEE1(F5,E5)</f>
        <v>0</v>
      </c>
      <c r="N9" s="3" t="n">
        <f aca="false">PROMETHEE1(F7,C7)</f>
        <v>0</v>
      </c>
      <c r="O9" s="3" t="n">
        <f aca="false">PROMETHEE1(F7,D7)</f>
        <v>0</v>
      </c>
      <c r="P9" s="3" t="n">
        <f aca="false">PROMETHEE1(F7,E7)</f>
        <v>1</v>
      </c>
    </row>
    <row r="10" customFormat="false" ht="26.25" hidden="false" customHeight="false" outlineLevel="0" collapsed="false">
      <c r="A10" s="0"/>
      <c r="B10" s="0"/>
      <c r="C10" s="3" t="n">
        <f aca="false">PROMETHEE1(D3,C3)</f>
        <v>0</v>
      </c>
      <c r="D10" s="3" t="n">
        <f aca="false">PROMETHEE1(D3,E3)</f>
        <v>1</v>
      </c>
      <c r="E10" s="3" t="n">
        <f aca="false">PROMETHEE1(D3,F3)</f>
        <v>0</v>
      </c>
      <c r="G10" s="0"/>
      <c r="H10" s="0"/>
      <c r="I10" s="0"/>
      <c r="J10" s="0"/>
    </row>
    <row r="11" customFormat="false" ht="26.25" hidden="false" customHeight="false" outlineLevel="0" collapsed="false">
      <c r="A11" s="0"/>
      <c r="B11" s="0"/>
      <c r="C11" s="3" t="n">
        <f aca="false">PROMETHEE1(E3,C3)</f>
        <v>0</v>
      </c>
      <c r="D11" s="3" t="n">
        <f aca="false">PROMETHEE1(E3,D3)</f>
        <v>0</v>
      </c>
      <c r="E11" s="3" t="n">
        <f aca="false">PROMETHEE1(E3,F3)</f>
        <v>0</v>
      </c>
      <c r="G11" s="0"/>
      <c r="H11" s="0"/>
      <c r="I11" s="0"/>
      <c r="J11" s="0"/>
    </row>
    <row r="12" customFormat="false" ht="26.25" hidden="false" customHeight="false" outlineLevel="0" collapsed="false">
      <c r="A12" s="0"/>
      <c r="B12" s="0"/>
      <c r="C12" s="3" t="n">
        <f aca="false">PROMETHEE1(F3,C3)</f>
        <v>0</v>
      </c>
      <c r="D12" s="3" t="n">
        <f aca="false">PROMETHEE1(F3,D3)</f>
        <v>1</v>
      </c>
      <c r="E12" s="3" t="n">
        <f aca="false">PROMETHEE1(F3,E3)</f>
        <v>1</v>
      </c>
      <c r="G12" s="0"/>
      <c r="H12" s="0"/>
      <c r="I12" s="0"/>
      <c r="J12" s="0"/>
    </row>
    <row r="13" customFormat="false" ht="26.25" hidden="false" customHeight="false" outlineLevel="0" collapsed="false">
      <c r="A13" s="0"/>
      <c r="B13" s="0"/>
      <c r="C13" s="0"/>
      <c r="D13" s="0"/>
      <c r="E13" s="0"/>
      <c r="G13" s="3"/>
      <c r="H13" s="7" t="s">
        <v>18</v>
      </c>
      <c r="I13" s="7" t="s">
        <v>19</v>
      </c>
      <c r="J13" s="7" t="s">
        <v>20</v>
      </c>
    </row>
    <row r="14" customFormat="false" ht="26.25" hidden="false" customHeight="false" outlineLevel="0" collapsed="false">
      <c r="A14" s="0"/>
      <c r="B14" s="8" t="s">
        <v>21</v>
      </c>
      <c r="C14" s="3" t="n">
        <f aca="false">(1/$B$8)*(C9+I1+I6+N1+N6)</f>
        <v>0.6</v>
      </c>
      <c r="D14" s="3" t="n">
        <f aca="false">(1/$B$8)*(D9+J1+J6+O1+O6)</f>
        <v>0.4</v>
      </c>
      <c r="E14" s="3" t="n">
        <f aca="false">(1/$B$8)*(E9+K1+K6+P1+P6)</f>
        <v>0.6</v>
      </c>
      <c r="G14" s="9" t="s">
        <v>5</v>
      </c>
      <c r="H14" s="3" t="n">
        <f aca="false">(1/(4-1))*SUM(B20:E20)</f>
        <v>0.533333333333333</v>
      </c>
      <c r="I14" s="3"/>
      <c r="J14" s="3"/>
    </row>
    <row r="15" customFormat="false" ht="26.25" hidden="false" customHeight="false" outlineLevel="0" collapsed="false">
      <c r="A15" s="0"/>
      <c r="B15" s="0"/>
      <c r="C15" s="3" t="n">
        <f aca="false">(1/$B$8)*(C10+I2+I7+N2+N7)</f>
        <v>0.4</v>
      </c>
      <c r="D15" s="3" t="n">
        <f aca="false">(1/$B$8)*(D10+J2+J7+O2+O7)</f>
        <v>0.6</v>
      </c>
      <c r="E15" s="3" t="n">
        <f aca="false">(1/$B$8)*(E10+K2+K7+P2+P7)</f>
        <v>0.4</v>
      </c>
      <c r="G15" s="9" t="s">
        <v>6</v>
      </c>
      <c r="H15" s="3" t="n">
        <f aca="false">(1/(4-1))*SUM(B21:E21)</f>
        <v>0.466666666666667</v>
      </c>
      <c r="I15" s="3"/>
      <c r="J15" s="3"/>
    </row>
    <row r="16" customFormat="false" ht="26.25" hidden="false" customHeight="false" outlineLevel="0" collapsed="false">
      <c r="A16" s="0"/>
      <c r="B16" s="0"/>
      <c r="C16" s="3" t="n">
        <f aca="false">(1/$B$8)*(C11+I3+I8+N3+N8)</f>
        <v>0.2</v>
      </c>
      <c r="D16" s="3" t="n">
        <f aca="false">(1/$B$8)*(D11+J3+J8+O3+O8)</f>
        <v>0.2</v>
      </c>
      <c r="E16" s="3" t="n">
        <f aca="false">(1/$B$8)*(E11+K3+K8+P3+P8)</f>
        <v>0.6</v>
      </c>
      <c r="G16" s="9" t="s">
        <v>7</v>
      </c>
      <c r="H16" s="3" t="n">
        <f aca="false">(1/(4-1))*SUM(B22:E22)</f>
        <v>0.333333333333333</v>
      </c>
      <c r="I16" s="3"/>
      <c r="J16" s="3"/>
    </row>
    <row r="17" customFormat="false" ht="26.25" hidden="false" customHeight="false" outlineLevel="0" collapsed="false">
      <c r="A17" s="0"/>
      <c r="B17" s="0"/>
      <c r="C17" s="3" t="n">
        <f aca="false">(1/$B$8)*(C12+I4+I9+N4+N9)</f>
        <v>0.2</v>
      </c>
      <c r="D17" s="3" t="n">
        <f aca="false">(1/$B$8)*(D12+J4+J9+O4+O9)</f>
        <v>0.2</v>
      </c>
      <c r="E17" s="3" t="n">
        <f aca="false">(1/$B$8)*(E12+K4+K9+P4+P9)</f>
        <v>0.4</v>
      </c>
      <c r="G17" s="9" t="s">
        <v>8</v>
      </c>
      <c r="H17" s="3" t="n">
        <f aca="false">(1/(4-1))*SUM(B23:E23)</f>
        <v>0.266666666666667</v>
      </c>
      <c r="I17" s="3"/>
      <c r="J17" s="3"/>
    </row>
    <row r="18" customFormat="false" ht="26.25" hidden="false" customHeight="false" outlineLevel="0" collapsed="false">
      <c r="A18" s="0"/>
      <c r="B18" s="0"/>
      <c r="C18" s="0"/>
      <c r="D18" s="0"/>
      <c r="E18" s="0"/>
    </row>
    <row r="19" customFormat="false" ht="26.25" hidden="false" customHeight="false" outlineLevel="0" collapsed="false">
      <c r="A19" s="0"/>
      <c r="B19" s="7" t="s">
        <v>5</v>
      </c>
      <c r="C19" s="7" t="s">
        <v>6</v>
      </c>
      <c r="D19" s="7" t="s">
        <v>7</v>
      </c>
      <c r="E19" s="7" t="s">
        <v>8</v>
      </c>
    </row>
    <row r="20" customFormat="false" ht="26.25" hidden="false" customHeight="false" outlineLevel="0" collapsed="false">
      <c r="A20" s="9" t="s">
        <v>5</v>
      </c>
      <c r="B20" s="3" t="n">
        <v>0</v>
      </c>
      <c r="C20" s="3" t="n">
        <f aca="false">C14</f>
        <v>0.6</v>
      </c>
      <c r="D20" s="3" t="n">
        <f aca="false">D14</f>
        <v>0.4</v>
      </c>
      <c r="E20" s="3" t="n">
        <f aca="false">E14</f>
        <v>0.6</v>
      </c>
    </row>
    <row r="21" customFormat="false" ht="26.25" hidden="false" customHeight="false" outlineLevel="0" collapsed="false">
      <c r="A21" s="9" t="s">
        <v>6</v>
      </c>
      <c r="B21" s="3" t="n">
        <f aca="false">C15</f>
        <v>0.4</v>
      </c>
      <c r="C21" s="3" t="n">
        <v>0</v>
      </c>
      <c r="D21" s="3" t="n">
        <f aca="false">D15</f>
        <v>0.6</v>
      </c>
      <c r="E21" s="3" t="n">
        <f aca="false">E15</f>
        <v>0.4</v>
      </c>
    </row>
    <row r="22" customFormat="false" ht="26.25" hidden="false" customHeight="false" outlineLevel="0" collapsed="false">
      <c r="A22" s="9" t="s">
        <v>7</v>
      </c>
      <c r="B22" s="3" t="n">
        <f aca="false">C16</f>
        <v>0.2</v>
      </c>
      <c r="C22" s="3" t="n">
        <f aca="false">D16</f>
        <v>0.2</v>
      </c>
      <c r="D22" s="3" t="n">
        <v>0</v>
      </c>
      <c r="E22" s="3" t="n">
        <f aca="false">E16</f>
        <v>0.6</v>
      </c>
    </row>
    <row r="23" customFormat="false" ht="26.25" hidden="false" customHeight="false" outlineLevel="0" collapsed="false">
      <c r="A23" s="9" t="s">
        <v>8</v>
      </c>
      <c r="B23" s="3" t="n">
        <f aca="false">C17</f>
        <v>0.2</v>
      </c>
      <c r="C23" s="3" t="n">
        <f aca="false">D17</f>
        <v>0.2</v>
      </c>
      <c r="D23" s="3" t="n">
        <f aca="false">E17</f>
        <v>0.4</v>
      </c>
      <c r="E23" s="3" t="n">
        <v>0</v>
      </c>
    </row>
  </sheetData>
  <mergeCells count="3">
    <mergeCell ref="A1:A2"/>
    <mergeCell ref="B1:B2"/>
    <mergeCell ref="C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5" activeCellId="0" sqref="F15"/>
    </sheetView>
  </sheetViews>
  <sheetFormatPr defaultRowHeight="15"/>
  <cols>
    <col collapsed="false" hidden="false" max="1" min="1" style="0" width="8.57085020242915"/>
    <col collapsed="false" hidden="false" max="2" min="2" style="0" width="18.1012145748988"/>
    <col collapsed="false" hidden="false" max="6" min="3" style="0" width="8.57085020242915"/>
    <col collapsed="false" hidden="false" max="7" min="7" style="0" width="3.21457489878542"/>
    <col collapsed="false" hidden="false" max="8" min="8" style="0" width="8.57085020242915"/>
    <col collapsed="false" hidden="false" max="9" min="9" style="0" width="23.5668016194332"/>
    <col collapsed="false" hidden="false" max="10" min="10" style="0" width="24.4251012145749"/>
    <col collapsed="false" hidden="false" max="11" min="11" style="0" width="16.497975708502"/>
    <col collapsed="false" hidden="false" max="12" min="12" style="0" width="8.57085020242915"/>
    <col collapsed="false" hidden="false" max="13" min="13" style="0" width="4.06882591093117"/>
    <col collapsed="false" hidden="false" max="1025" min="14" style="0" width="8.57085020242915"/>
  </cols>
  <sheetData>
    <row r="1" customFormat="false" ht="26.25" hidden="false" customHeight="false" outlineLevel="0" collapsed="false">
      <c r="A1" s="2" t="s">
        <v>0</v>
      </c>
      <c r="B1" s="2" t="s">
        <v>1</v>
      </c>
      <c r="C1" s="2" t="s">
        <v>2</v>
      </c>
      <c r="D1" s="2"/>
      <c r="E1" s="2"/>
      <c r="F1" s="2"/>
      <c r="H1" s="1" t="s">
        <v>22</v>
      </c>
      <c r="I1" s="3" t="n">
        <f aca="false">PROMETHEE1($C4,C4)</f>
        <v>0</v>
      </c>
      <c r="J1" s="3" t="n">
        <f aca="false">PROMETHEE1($C4,D4)</f>
        <v>0</v>
      </c>
      <c r="K1" s="3" t="n">
        <f aca="false">PROMETHEE1($C4,E4)</f>
        <v>0</v>
      </c>
      <c r="L1" s="3" t="n">
        <f aca="false">PROMETHEE1($C4,F4)</f>
        <v>1</v>
      </c>
      <c r="N1" s="1" t="s">
        <v>23</v>
      </c>
      <c r="O1" s="3" t="n">
        <f aca="false">PROMETHEE1($C6,C6)</f>
        <v>0</v>
      </c>
      <c r="P1" s="3" t="n">
        <f aca="false">PROMETHEE1($C6,D6)</f>
        <v>1</v>
      </c>
      <c r="Q1" s="3" t="n">
        <f aca="false">PROMETHEE1($C6,E6)</f>
        <v>0</v>
      </c>
      <c r="R1" s="3" t="n">
        <f aca="false">PROMETHEE1($C6,F6)</f>
        <v>1</v>
      </c>
    </row>
    <row r="2" customFormat="false" ht="26.25" hidden="false" customHeight="false" outlineLevel="0" collapsed="false">
      <c r="A2" s="2"/>
      <c r="B2" s="2"/>
      <c r="C2" s="4" t="s">
        <v>5</v>
      </c>
      <c r="D2" s="4" t="s">
        <v>6</v>
      </c>
      <c r="E2" s="4" t="s">
        <v>7</v>
      </c>
      <c r="F2" s="4" t="s">
        <v>8</v>
      </c>
      <c r="H2" s="1"/>
      <c r="I2" s="3" t="n">
        <f aca="false">PROMETHEE1($D4,C4)</f>
        <v>1</v>
      </c>
      <c r="J2" s="3" t="n">
        <f aca="false">PROMETHEE1($D4,D4)</f>
        <v>0</v>
      </c>
      <c r="K2" s="3" t="n">
        <f aca="false">PROMETHEE1($D4,E4)</f>
        <v>1</v>
      </c>
      <c r="L2" s="3" t="n">
        <f aca="false">PROMETHEE1($D4,F4)</f>
        <v>1</v>
      </c>
      <c r="N2" s="1"/>
      <c r="O2" s="3" t="n">
        <f aca="false">PROMETHEE1($D6,C6)</f>
        <v>0</v>
      </c>
      <c r="P2" s="3" t="n">
        <f aca="false">PROMETHEE1($D6,D6)</f>
        <v>0</v>
      </c>
      <c r="Q2" s="3" t="n">
        <f aca="false">PROMETHEE1($D6,E6)</f>
        <v>0</v>
      </c>
      <c r="R2" s="3" t="n">
        <f aca="false">PROMETHEE1($D6,F6)</f>
        <v>0</v>
      </c>
    </row>
    <row r="3" customFormat="false" ht="26.25" hidden="false" customHeight="false" outlineLevel="0" collapsed="false">
      <c r="A3" s="3" t="n">
        <v>1</v>
      </c>
      <c r="B3" s="5" t="s">
        <v>9</v>
      </c>
      <c r="C3" s="3" t="n">
        <v>3</v>
      </c>
      <c r="D3" s="3" t="n">
        <v>2</v>
      </c>
      <c r="E3" s="3" t="n">
        <v>1</v>
      </c>
      <c r="F3" s="3" t="n">
        <v>3</v>
      </c>
      <c r="H3" s="1"/>
      <c r="I3" s="3" t="n">
        <f aca="false">PROMETHEE1($E4,C4)</f>
        <v>0</v>
      </c>
      <c r="J3" s="3" t="n">
        <f aca="false">PROMETHEE1($E4,D4)</f>
        <v>0</v>
      </c>
      <c r="K3" s="3" t="n">
        <f aca="false">PROMETHEE1($E4,E4)</f>
        <v>0</v>
      </c>
      <c r="L3" s="3" t="n">
        <f aca="false">PROMETHEE1($E4,F4)</f>
        <v>1</v>
      </c>
      <c r="N3" s="1"/>
      <c r="O3" s="3" t="n">
        <f aca="false">PROMETHEE1($E6,C6)</f>
        <v>0</v>
      </c>
      <c r="P3" s="3" t="n">
        <f aca="false">PROMETHEE1($E6,D6)</f>
        <v>1</v>
      </c>
      <c r="Q3" s="3" t="n">
        <f aca="false">PROMETHEE1($E6,E6)</f>
        <v>0</v>
      </c>
      <c r="R3" s="3" t="n">
        <f aca="false">PROMETHEE1($E6,F6)</f>
        <v>1</v>
      </c>
    </row>
    <row r="4" customFormat="false" ht="26.25" hidden="false" customHeight="false" outlineLevel="0" collapsed="false">
      <c r="A4" s="3" t="n">
        <v>2</v>
      </c>
      <c r="B4" s="5" t="s">
        <v>10</v>
      </c>
      <c r="C4" s="3" t="n">
        <v>2</v>
      </c>
      <c r="D4" s="3" t="n">
        <v>3</v>
      </c>
      <c r="E4" s="3" t="n">
        <v>2</v>
      </c>
      <c r="F4" s="3" t="n">
        <v>1</v>
      </c>
      <c r="H4" s="1"/>
      <c r="I4" s="3" t="n">
        <f aca="false">PROMETHEE1($F4,C4)</f>
        <v>0</v>
      </c>
      <c r="J4" s="3" t="n">
        <f aca="false">PROMETHEE1($F4,D4)</f>
        <v>0</v>
      </c>
      <c r="K4" s="3" t="n">
        <f aca="false">PROMETHEE1($F4,E4)</f>
        <v>0</v>
      </c>
      <c r="L4" s="3" t="n">
        <f aca="false">PROMETHEE1($F4,F4)</f>
        <v>0</v>
      </c>
      <c r="N4" s="1"/>
      <c r="O4" s="3" t="n">
        <f aca="false">PROMETHEE1($F6,C6)</f>
        <v>0</v>
      </c>
      <c r="P4" s="3" t="n">
        <f aca="false">PROMETHEE1($F6,D6)</f>
        <v>0</v>
      </c>
      <c r="Q4" s="3" t="n">
        <f aca="false">PROMETHEE1($F6,E6)</f>
        <v>0</v>
      </c>
      <c r="R4" s="3" t="n">
        <f aca="false">PROMETHEE1($F6,F6)</f>
        <v>0</v>
      </c>
    </row>
    <row r="5" customFormat="false" ht="26.25" hidden="false" customHeight="false" outlineLevel="0" collapsed="false">
      <c r="A5" s="3" t="n">
        <v>3</v>
      </c>
      <c r="B5" s="5" t="s">
        <v>11</v>
      </c>
      <c r="C5" s="3" t="n">
        <v>1</v>
      </c>
      <c r="D5" s="3" t="n">
        <v>3</v>
      </c>
      <c r="E5" s="3" t="n">
        <v>3</v>
      </c>
      <c r="F5" s="3" t="n">
        <v>2</v>
      </c>
    </row>
    <row r="6" customFormat="false" ht="26.25" hidden="false" customHeight="false" outlineLevel="0" collapsed="false">
      <c r="A6" s="3" t="n">
        <v>4</v>
      </c>
      <c r="B6" s="5" t="s">
        <v>12</v>
      </c>
      <c r="C6" s="3" t="n">
        <v>2</v>
      </c>
      <c r="D6" s="3" t="n">
        <v>1</v>
      </c>
      <c r="E6" s="3" t="n">
        <v>2</v>
      </c>
      <c r="F6" s="3" t="n">
        <v>1</v>
      </c>
      <c r="H6" s="1" t="s">
        <v>24</v>
      </c>
      <c r="I6" s="3" t="n">
        <f aca="false">PROMETHEE1($C5,C5)</f>
        <v>0</v>
      </c>
      <c r="J6" s="3" t="n">
        <f aca="false">PROMETHEE1($C5,D5)</f>
        <v>0</v>
      </c>
      <c r="K6" s="3" t="n">
        <f aca="false">PROMETHEE1($C5,E5)</f>
        <v>0</v>
      </c>
      <c r="L6" s="3" t="n">
        <f aca="false">PROMETHEE1($C5,F5)</f>
        <v>0</v>
      </c>
      <c r="N6" s="1" t="s">
        <v>25</v>
      </c>
      <c r="O6" s="3" t="n">
        <f aca="false">PROMETHEE1($C7,C7)</f>
        <v>0</v>
      </c>
      <c r="P6" s="3" t="n">
        <f aca="false">PROMETHEE1($C7,D7)</f>
        <v>1</v>
      </c>
      <c r="Q6" s="3" t="n">
        <f aca="false">PROMETHEE1($C7,E7)</f>
        <v>1</v>
      </c>
      <c r="R6" s="3" t="n">
        <f aca="false">PROMETHEE1($C7,F7)</f>
        <v>1</v>
      </c>
    </row>
    <row r="7" customFormat="false" ht="26.25" hidden="false" customHeight="false" outlineLevel="0" collapsed="false">
      <c r="A7" s="3" t="n">
        <v>5</v>
      </c>
      <c r="B7" s="5" t="s">
        <v>15</v>
      </c>
      <c r="C7" s="3" t="n">
        <v>3</v>
      </c>
      <c r="D7" s="3" t="n">
        <v>2</v>
      </c>
      <c r="E7" s="3" t="n">
        <v>1</v>
      </c>
      <c r="F7" s="3" t="n">
        <v>2</v>
      </c>
      <c r="H7" s="1"/>
      <c r="I7" s="3" t="n">
        <f aca="false">PROMETHEE1($D5,C5)</f>
        <v>1</v>
      </c>
      <c r="J7" s="3" t="n">
        <f aca="false">PROMETHEE1($D5,D5)</f>
        <v>0</v>
      </c>
      <c r="K7" s="3" t="n">
        <f aca="false">PROMETHEE1($D5,E5)</f>
        <v>0</v>
      </c>
      <c r="L7" s="3" t="n">
        <f aca="false">PROMETHEE1($D5,F5)</f>
        <v>1</v>
      </c>
      <c r="N7" s="1"/>
      <c r="O7" s="3" t="n">
        <f aca="false">PROMETHEE1($D7,C7)</f>
        <v>0</v>
      </c>
      <c r="P7" s="3" t="n">
        <f aca="false">PROMETHEE1($D7,D7)</f>
        <v>0</v>
      </c>
      <c r="Q7" s="3" t="n">
        <f aca="false">PROMETHEE1($D7,E7)</f>
        <v>1</v>
      </c>
      <c r="R7" s="3" t="n">
        <f aca="false">PROMETHEE1($D7,F7)</f>
        <v>0</v>
      </c>
    </row>
    <row r="8" customFormat="false" ht="26.25" hidden="false" customHeight="false" outlineLevel="0" collapsed="false">
      <c r="H8" s="1"/>
      <c r="I8" s="3" t="n">
        <f aca="false">PROMETHEE1($E5,C5)</f>
        <v>1</v>
      </c>
      <c r="J8" s="3" t="n">
        <f aca="false">PROMETHEE1($E5,D5)</f>
        <v>0</v>
      </c>
      <c r="K8" s="3" t="n">
        <f aca="false">PROMETHEE1($E5,E5)</f>
        <v>0</v>
      </c>
      <c r="L8" s="3" t="n">
        <f aca="false">PROMETHEE1($E5,F5)</f>
        <v>1</v>
      </c>
      <c r="N8" s="1"/>
      <c r="O8" s="3" t="n">
        <f aca="false">PROMETHEE1($E7,C7)</f>
        <v>0</v>
      </c>
      <c r="P8" s="3" t="n">
        <f aca="false">PROMETHEE1($E7,D7)</f>
        <v>0</v>
      </c>
      <c r="Q8" s="3" t="n">
        <f aca="false">PROMETHEE1($E7,E7)</f>
        <v>0</v>
      </c>
      <c r="R8" s="3" t="n">
        <f aca="false">PROMETHEE1($E7,F7)</f>
        <v>0</v>
      </c>
    </row>
    <row r="9" customFormat="false" ht="26.25" hidden="false" customHeight="false" outlineLevel="0" collapsed="false">
      <c r="B9" s="1" t="s">
        <v>17</v>
      </c>
      <c r="C9" s="3" t="n">
        <f aca="false">PROMETHEE1($C3,C3)</f>
        <v>0</v>
      </c>
      <c r="D9" s="3" t="n">
        <f aca="false">PROMETHEE1($C3,D3)</f>
        <v>1</v>
      </c>
      <c r="E9" s="3" t="n">
        <f aca="false">PROMETHEE1($C3,E3)</f>
        <v>1</v>
      </c>
      <c r="F9" s="3" t="n">
        <f aca="false">PROMETHEE1($C3,F3)</f>
        <v>0</v>
      </c>
      <c r="H9" s="1"/>
      <c r="I9" s="3" t="n">
        <f aca="false">PROMETHEE1($F5,C5)</f>
        <v>1</v>
      </c>
      <c r="J9" s="3" t="n">
        <f aca="false">PROMETHEE1($F5,D5)</f>
        <v>0</v>
      </c>
      <c r="K9" s="3" t="n">
        <f aca="false">PROMETHEE1($F5,E5)</f>
        <v>0</v>
      </c>
      <c r="L9" s="3" t="n">
        <f aca="false">PROMETHEE1($F5,F5)</f>
        <v>0</v>
      </c>
      <c r="N9" s="1"/>
      <c r="O9" s="3" t="n">
        <f aca="false">PROMETHEE1($F7,C7)</f>
        <v>0</v>
      </c>
      <c r="P9" s="3" t="n">
        <f aca="false">PROMETHEE1($F7,D7)</f>
        <v>0</v>
      </c>
      <c r="Q9" s="3" t="n">
        <f aca="false">PROMETHEE1($F7,E7)</f>
        <v>1</v>
      </c>
      <c r="R9" s="3" t="n">
        <f aca="false">PROMETHEE1($F7,F7)</f>
        <v>0</v>
      </c>
    </row>
    <row r="10" customFormat="false" ht="26.25" hidden="false" customHeight="false" outlineLevel="0" collapsed="false">
      <c r="B10" s="1"/>
      <c r="C10" s="3" t="n">
        <f aca="false">PROMETHEE1($D3,C3)</f>
        <v>0</v>
      </c>
      <c r="D10" s="3" t="n">
        <f aca="false">PROMETHEE1($D3,D3)</f>
        <v>0</v>
      </c>
      <c r="E10" s="3" t="n">
        <f aca="false">PROMETHEE1($D3,E3)</f>
        <v>1</v>
      </c>
      <c r="F10" s="3" t="n">
        <f aca="false">PROMETHEE1($D3,F3)</f>
        <v>0</v>
      </c>
    </row>
    <row r="11" customFormat="false" ht="26.25" hidden="false" customHeight="false" outlineLevel="0" collapsed="false">
      <c r="B11" s="1"/>
      <c r="C11" s="3" t="n">
        <f aca="false">PROMETHEE1($E3,C3)</f>
        <v>0</v>
      </c>
      <c r="D11" s="3" t="n">
        <f aca="false">PROMETHEE1($E3,D3)</f>
        <v>0</v>
      </c>
      <c r="E11" s="3" t="n">
        <f aca="false">PROMETHEE1($E3,E3)</f>
        <v>0</v>
      </c>
      <c r="F11" s="3" t="n">
        <f aca="false">PROMETHEE1($E3,F3)</f>
        <v>0</v>
      </c>
    </row>
    <row r="12" customFormat="false" ht="26.25" hidden="false" customHeight="false" outlineLevel="0" collapsed="false">
      <c r="B12" s="1"/>
      <c r="C12" s="3" t="n">
        <f aca="false">PROMETHEE1($F3,C3)</f>
        <v>0</v>
      </c>
      <c r="D12" s="3" t="n">
        <f aca="false">PROMETHEE1($F3,D3)</f>
        <v>1</v>
      </c>
      <c r="E12" s="3" t="n">
        <f aca="false">PROMETHEE1($F3,E3)</f>
        <v>1</v>
      </c>
      <c r="F12" s="3" t="n">
        <f aca="false">PROMETHEE1($F3,F3)</f>
        <v>0</v>
      </c>
    </row>
    <row r="14" customFormat="false" ht="26.25" hidden="false" customHeight="false" outlineLevel="0" collapsed="false">
      <c r="B14" s="10" t="s">
        <v>21</v>
      </c>
      <c r="C14" s="7" t="s">
        <v>5</v>
      </c>
      <c r="D14" s="7" t="s">
        <v>6</v>
      </c>
      <c r="E14" s="7" t="s">
        <v>7</v>
      </c>
      <c r="F14" s="7" t="s">
        <v>8</v>
      </c>
      <c r="H14" s="3"/>
      <c r="I14" s="7" t="s">
        <v>18</v>
      </c>
      <c r="J14" s="7" t="s">
        <v>19</v>
      </c>
      <c r="K14" s="7" t="s">
        <v>20</v>
      </c>
    </row>
    <row r="15" customFormat="false" ht="26.25" hidden="false" customHeight="false" outlineLevel="0" collapsed="false">
      <c r="B15" s="9" t="s">
        <v>5</v>
      </c>
      <c r="C15" s="3" t="n">
        <f aca="false">1/5*(C9+I1+I6+O1+O6)</f>
        <v>0</v>
      </c>
      <c r="D15" s="3" t="n">
        <f aca="false">1/5*(D9+J1+J6+P1+P6)</f>
        <v>0.6</v>
      </c>
      <c r="E15" s="3" t="n">
        <f aca="false">1/5*(E9+K1+K6+Q1+Q6)</f>
        <v>0.4</v>
      </c>
      <c r="F15" s="3" t="n">
        <f aca="false">1/5*(F9+L1+L6+R1+R6)</f>
        <v>0.6</v>
      </c>
      <c r="H15" s="9" t="s">
        <v>5</v>
      </c>
      <c r="I15" s="3" t="n">
        <f aca="false">1/3*SUM(C15:F15)</f>
        <v>0.533333333333333</v>
      </c>
      <c r="J15" s="3" t="n">
        <f aca="false">1/3*SUM(C15:C18)</f>
        <v>0.266666666666667</v>
      </c>
      <c r="K15" s="5" t="n">
        <f aca="false">I15-J15</f>
        <v>0.266666666666667</v>
      </c>
      <c r="L15" s="11" t="s">
        <v>26</v>
      </c>
    </row>
    <row r="16" customFormat="false" ht="26.25" hidden="false" customHeight="false" outlineLevel="0" collapsed="false">
      <c r="B16" s="9" t="s">
        <v>6</v>
      </c>
      <c r="C16" s="3" t="n">
        <f aca="false">1/5*(C10+I2+I7+O2+O7)</f>
        <v>0.4</v>
      </c>
      <c r="D16" s="3" t="n">
        <f aca="false">1/5*(D10+J2+J7+P2+P7)</f>
        <v>0</v>
      </c>
      <c r="E16" s="3" t="n">
        <f aca="false">1/5*(E10+K2+K7+Q2+Q7)</f>
        <v>0.6</v>
      </c>
      <c r="F16" s="3" t="n">
        <f aca="false">1/5*(F10+L2+L7+R2+R7)</f>
        <v>0.4</v>
      </c>
      <c r="H16" s="9" t="s">
        <v>6</v>
      </c>
      <c r="I16" s="3" t="n">
        <f aca="false">1/3*SUM(C16:F16)</f>
        <v>0.466666666666667</v>
      </c>
      <c r="J16" s="3" t="n">
        <f aca="false">1/3*SUM(D15:D18)</f>
        <v>0.333333333333333</v>
      </c>
      <c r="K16" s="3" t="n">
        <f aca="false">I16-J16</f>
        <v>0.133333333333333</v>
      </c>
    </row>
    <row r="17" customFormat="false" ht="26.25" hidden="false" customHeight="false" outlineLevel="0" collapsed="false">
      <c r="B17" s="9" t="s">
        <v>7</v>
      </c>
      <c r="C17" s="3" t="n">
        <f aca="false">1/5*(C11+I3+I8+O3+O8)</f>
        <v>0.2</v>
      </c>
      <c r="D17" s="3" t="n">
        <f aca="false">1/5*(D11+J3+J8+P3+P8)</f>
        <v>0.2</v>
      </c>
      <c r="E17" s="3" t="n">
        <f aca="false">1/5*(E11+K3+K8+Q3+Q8)</f>
        <v>0</v>
      </c>
      <c r="F17" s="3" t="n">
        <f aca="false">1/5*(F11+L3+L8+R3+R8)</f>
        <v>0.6</v>
      </c>
      <c r="H17" s="9" t="s">
        <v>7</v>
      </c>
      <c r="I17" s="3" t="n">
        <f aca="false">1/3*SUM(C17:F17)</f>
        <v>0.333333333333333</v>
      </c>
      <c r="J17" s="3" t="n">
        <f aca="false">1/3*SUM(E15:E18)</f>
        <v>0.466666666666667</v>
      </c>
      <c r="K17" s="3" t="n">
        <f aca="false">I17-J17</f>
        <v>-0.133333333333333</v>
      </c>
    </row>
    <row r="18" customFormat="false" ht="26.25" hidden="false" customHeight="false" outlineLevel="0" collapsed="false">
      <c r="B18" s="9" t="s">
        <v>8</v>
      </c>
      <c r="C18" s="3" t="n">
        <f aca="false">1/5*(C12+I4+I9+O4+O9)</f>
        <v>0.2</v>
      </c>
      <c r="D18" s="3" t="n">
        <f aca="false">1/5*(D12+J4+J9+P4+P9)</f>
        <v>0.2</v>
      </c>
      <c r="E18" s="3" t="n">
        <f aca="false">1/5*(E12+K4+K9+Q4+Q9)</f>
        <v>0.4</v>
      </c>
      <c r="F18" s="3" t="n">
        <f aca="false">1/5*(F12+L4+L9+R4+R9)</f>
        <v>0</v>
      </c>
      <c r="H18" s="9" t="s">
        <v>8</v>
      </c>
      <c r="I18" s="3" t="n">
        <f aca="false">1/3*SUM(C18:F18)</f>
        <v>0.266666666666667</v>
      </c>
      <c r="J18" s="3" t="n">
        <f aca="false">1/3*SUM(F15:F18)</f>
        <v>0.533333333333333</v>
      </c>
      <c r="K18" s="3" t="n">
        <f aca="false">I18-J18</f>
        <v>-0.266666666666667</v>
      </c>
    </row>
  </sheetData>
  <mergeCells count="3">
    <mergeCell ref="A1:A2"/>
    <mergeCell ref="B1:B2"/>
    <mergeCell ref="C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025" min="1" style="0" width="8.57085020242915"/>
  </cols>
  <sheetData>
    <row r="1" customFormat="false" ht="13.8" hidden="false" customHeight="false" outlineLevel="0" collapsed="false">
      <c r="A1" s="12"/>
      <c r="B1" s="13" t="n">
        <v>1</v>
      </c>
      <c r="C1" s="13" t="n">
        <v>2</v>
      </c>
      <c r="D1" s="13" t="n">
        <v>3</v>
      </c>
      <c r="E1" s="13" t="n">
        <v>4</v>
      </c>
    </row>
    <row r="2" customFormat="false" ht="13.8" hidden="false" customHeight="false" outlineLevel="0" collapsed="false">
      <c r="A2" s="12" t="s">
        <v>27</v>
      </c>
      <c r="B2" s="13" t="n">
        <v>1</v>
      </c>
      <c r="C2" s="13" t="n">
        <v>2</v>
      </c>
      <c r="D2" s="13" t="n">
        <v>1</v>
      </c>
      <c r="E2" s="13" t="n">
        <v>3</v>
      </c>
    </row>
    <row r="3" customFormat="false" ht="13.8" hidden="false" customHeight="false" outlineLevel="0" collapsed="false">
      <c r="A3" s="12" t="s">
        <v>28</v>
      </c>
      <c r="B3" s="13" t="n">
        <v>1</v>
      </c>
      <c r="C3" s="13" t="n">
        <v>1</v>
      </c>
      <c r="D3" s="13" t="n">
        <v>1</v>
      </c>
      <c r="E3" s="13" t="n">
        <v>1</v>
      </c>
    </row>
    <row r="4" customFormat="false" ht="13.8" hidden="false" customHeight="false" outlineLevel="0" collapsed="false">
      <c r="A4" s="12" t="s">
        <v>29</v>
      </c>
      <c r="B4" s="13" t="n">
        <v>2</v>
      </c>
      <c r="C4" s="13" t="n">
        <v>2</v>
      </c>
      <c r="D4" s="13" t="n">
        <v>4</v>
      </c>
      <c r="E4" s="13" t="n">
        <v>4</v>
      </c>
    </row>
    <row r="5" customFormat="false" ht="13.8" hidden="false" customHeight="false" outlineLevel="0" collapsed="false">
      <c r="A5" s="12" t="s">
        <v>30</v>
      </c>
      <c r="B5" s="13" t="n">
        <v>500</v>
      </c>
      <c r="C5" s="13" t="n">
        <v>128</v>
      </c>
      <c r="D5" s="13" t="n">
        <v>500</v>
      </c>
      <c r="E5" s="13" t="n">
        <v>500</v>
      </c>
    </row>
    <row r="6" customFormat="false" ht="13.8" hidden="false" customHeight="false" outlineLevel="0" collapsed="false">
      <c r="A6" s="12" t="s">
        <v>31</v>
      </c>
      <c r="B6" s="13" t="n">
        <v>12</v>
      </c>
      <c r="C6" s="13" t="n">
        <v>10</v>
      </c>
      <c r="D6" s="13" t="n">
        <v>12</v>
      </c>
      <c r="E6" s="13" t="n">
        <v>12</v>
      </c>
    </row>
    <row r="8" customFormat="false" ht="13.8" hidden="false" customHeight="false" outlineLevel="0" collapsed="false">
      <c r="A8" s="0" t="s">
        <v>27</v>
      </c>
      <c r="B8" s="0" t="n">
        <f aca="false">PROMETHEE1($B2,B2)</f>
        <v>0</v>
      </c>
      <c r="C8" s="0" t="n">
        <f aca="false">PROMETHEE1($B2,C2)</f>
        <v>0</v>
      </c>
      <c r="D8" s="0" t="n">
        <f aca="false">PROMETHEE1($B2,D2)</f>
        <v>0</v>
      </c>
      <c r="E8" s="0" t="n">
        <f aca="false">PROMETHEE1($B2,E2)</f>
        <v>0</v>
      </c>
    </row>
    <row r="9" customFormat="false" ht="13.8" hidden="false" customHeight="false" outlineLevel="0" collapsed="false">
      <c r="B9" s="0" t="n">
        <f aca="false">PROMETHEE1($C2,B2)</f>
        <v>1</v>
      </c>
      <c r="C9" s="0" t="n">
        <f aca="false">PROMETHEE1($C2,C2)</f>
        <v>0</v>
      </c>
      <c r="D9" s="0" t="n">
        <f aca="false">PROMETHEE1($C2,D2)</f>
        <v>1</v>
      </c>
      <c r="E9" s="0" t="n">
        <f aca="false">PROMETHEE1($C2,E2)</f>
        <v>0</v>
      </c>
    </row>
    <row r="10" customFormat="false" ht="13.8" hidden="false" customHeight="false" outlineLevel="0" collapsed="false">
      <c r="B10" s="0" t="n">
        <f aca="false">PROMETHEE1($D2,B2)</f>
        <v>0</v>
      </c>
      <c r="C10" s="0" t="n">
        <f aca="false">PROMETHEE1($D2,C2)</f>
        <v>0</v>
      </c>
      <c r="D10" s="0" t="n">
        <f aca="false">PROMETHEE1($D2,D2)</f>
        <v>0</v>
      </c>
      <c r="E10" s="0" t="n">
        <f aca="false">PROMETHEE1($D2,E2)</f>
        <v>0</v>
      </c>
    </row>
    <row r="11" customFormat="false" ht="13.8" hidden="false" customHeight="false" outlineLevel="0" collapsed="false">
      <c r="B11" s="0" t="n">
        <f aca="false">PROMETHEE1($E2,B2)</f>
        <v>1</v>
      </c>
      <c r="C11" s="0" t="n">
        <f aca="false">PROMETHEE1($E2,C2)</f>
        <v>1</v>
      </c>
      <c r="D11" s="0" t="n">
        <f aca="false">PROMETHEE1($E2,D2)</f>
        <v>1</v>
      </c>
      <c r="E11" s="0" t="n">
        <f aca="false">PROMETHEE1($E2,E2)</f>
        <v>0</v>
      </c>
    </row>
    <row r="13" customFormat="false" ht="13.8" hidden="false" customHeight="false" outlineLevel="0" collapsed="false">
      <c r="A13" s="0" t="s">
        <v>28</v>
      </c>
      <c r="B13" s="0" t="n">
        <f aca="false">PROMETHEE1($B3,B3)</f>
        <v>0</v>
      </c>
      <c r="C13" s="0" t="n">
        <f aca="false">PROMETHEE1($B3,C3)</f>
        <v>0</v>
      </c>
      <c r="D13" s="0" t="n">
        <f aca="false">PROMETHEE1($B3,D3)</f>
        <v>0</v>
      </c>
      <c r="E13" s="0" t="n">
        <f aca="false">PROMETHEE1($B3,E3)</f>
        <v>0</v>
      </c>
    </row>
    <row r="14" customFormat="false" ht="13.8" hidden="false" customHeight="false" outlineLevel="0" collapsed="false">
      <c r="B14" s="0" t="n">
        <f aca="false">PROMETHEE1($C3,B3)</f>
        <v>0</v>
      </c>
      <c r="C14" s="0" t="n">
        <f aca="false">PROMETHEE1($C3,C3)</f>
        <v>0</v>
      </c>
      <c r="D14" s="0" t="n">
        <f aca="false">PROMETHEE1($C3,D3)</f>
        <v>0</v>
      </c>
      <c r="E14" s="0" t="n">
        <f aca="false">PROMETHEE1($C3,E3)</f>
        <v>0</v>
      </c>
    </row>
    <row r="15" customFormat="false" ht="13.8" hidden="false" customHeight="false" outlineLevel="0" collapsed="false">
      <c r="B15" s="0" t="n">
        <f aca="false">PROMETHEE1($D3,B3)</f>
        <v>0</v>
      </c>
      <c r="C15" s="0" t="n">
        <f aca="false">PROMETHEE1($D3,C3)</f>
        <v>0</v>
      </c>
      <c r="D15" s="0" t="n">
        <f aca="false">PROMETHEE1($D3,D3)</f>
        <v>0</v>
      </c>
      <c r="E15" s="0" t="n">
        <f aca="false">PROMETHEE1($D3,E3)</f>
        <v>0</v>
      </c>
    </row>
    <row r="16" customFormat="false" ht="13.8" hidden="false" customHeight="false" outlineLevel="0" collapsed="false">
      <c r="B16" s="14" t="n">
        <f aca="false">PROMETHEE1($E3,B3)</f>
        <v>0</v>
      </c>
      <c r="C16" s="14" t="n">
        <f aca="false">PROMETHEE1($E3,C3)</f>
        <v>0</v>
      </c>
      <c r="D16" s="14" t="n">
        <f aca="false">PROMETHEE1($E3,D3)</f>
        <v>0</v>
      </c>
      <c r="E16" s="14" t="n">
        <f aca="false">PROMETHEE1($E3,E3)</f>
        <v>0</v>
      </c>
    </row>
    <row r="18" customFormat="false" ht="13.8" hidden="false" customHeight="false" outlineLevel="0" collapsed="false">
      <c r="A18" s="0" t="s">
        <v>29</v>
      </c>
      <c r="B18" s="0" t="n">
        <f aca="false">PROMETHEE1($B4,B4)</f>
        <v>0</v>
      </c>
      <c r="C18" s="0" t="n">
        <f aca="false">PROMETHEE1($B4,C4)</f>
        <v>0</v>
      </c>
      <c r="D18" s="0" t="n">
        <f aca="false">PROMETHEE1($B4,D4)</f>
        <v>0</v>
      </c>
      <c r="E18" s="0" t="n">
        <f aca="false">PROMETHEE1($B4,E4)</f>
        <v>0</v>
      </c>
    </row>
    <row r="19" customFormat="false" ht="13.8" hidden="false" customHeight="false" outlineLevel="0" collapsed="false">
      <c r="B19" s="14" t="n">
        <f aca="false">PROMETHEE1($C4,B4)</f>
        <v>0</v>
      </c>
      <c r="C19" s="14" t="n">
        <f aca="false">PROMETHEE1($C4,C4)</f>
        <v>0</v>
      </c>
      <c r="D19" s="14" t="n">
        <f aca="false">PROMETHEE1($C4,D4)</f>
        <v>0</v>
      </c>
      <c r="E19" s="14" t="n">
        <f aca="false">PROMETHEE1($C4,E4)</f>
        <v>0</v>
      </c>
    </row>
    <row r="20" customFormat="false" ht="13.8" hidden="false" customHeight="false" outlineLevel="0" collapsed="false">
      <c r="B20" s="14" t="n">
        <f aca="false">PROMETHEE1($D4,B4)</f>
        <v>1</v>
      </c>
      <c r="C20" s="14" t="n">
        <f aca="false">PROMETHEE1($D4,C4)</f>
        <v>1</v>
      </c>
      <c r="D20" s="14" t="n">
        <f aca="false">PROMETHEE1($D4,D4)</f>
        <v>0</v>
      </c>
      <c r="E20" s="14" t="n">
        <f aca="false">PROMETHEE1($D4,E4)</f>
        <v>0</v>
      </c>
    </row>
    <row r="21" customFormat="false" ht="13.8" hidden="false" customHeight="false" outlineLevel="0" collapsed="false">
      <c r="B21" s="14" t="n">
        <f aca="false">PROMETHEE1($E4,B4)</f>
        <v>1</v>
      </c>
      <c r="C21" s="14" t="n">
        <f aca="false">PROMETHEE1($E4,C4)</f>
        <v>1</v>
      </c>
      <c r="D21" s="14" t="n">
        <f aca="false">PROMETHEE1($E4,D4)</f>
        <v>0</v>
      </c>
      <c r="E21" s="14" t="n">
        <f aca="false">PROMETHEE1($E4,E4)</f>
        <v>0</v>
      </c>
    </row>
    <row r="23" customFormat="false" ht="15" hidden="false" customHeight="false" outlineLevel="0" collapsed="false">
      <c r="A23" s="0" t="s">
        <v>30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8"/>
  <sheetViews>
    <sheetView windowProtection="false" showFormulas="false" showGridLines="true" showRowColHeaders="true" showZeros="true" rightToLeft="false" tabSelected="true" showOutlineSymbols="true" defaultGridColor="true" view="normal" topLeftCell="B4" colorId="64" zoomScale="100" zoomScaleNormal="100" zoomScalePageLayoutView="100" workbookViewId="0">
      <selection pane="topLeft" activeCell="K18" activeCellId="0" sqref="K18"/>
    </sheetView>
  </sheetViews>
  <sheetFormatPr defaultRowHeight="15"/>
  <cols>
    <col collapsed="false" hidden="false" max="1" min="1" style="0" width="8.57085020242915"/>
    <col collapsed="false" hidden="false" max="2" min="2" style="0" width="18.1012145748988"/>
    <col collapsed="false" hidden="false" max="6" min="3" style="0" width="8.57085020242915"/>
    <col collapsed="false" hidden="false" max="7" min="7" style="0" width="3.21457489878542"/>
    <col collapsed="false" hidden="false" max="8" min="8" style="0" width="8.57085020242915"/>
    <col collapsed="false" hidden="false" max="9" min="9" style="0" width="23.5668016194332"/>
    <col collapsed="false" hidden="false" max="10" min="10" style="0" width="24.4251012145749"/>
    <col collapsed="false" hidden="false" max="11" min="11" style="0" width="16.497975708502"/>
    <col collapsed="false" hidden="false" max="12" min="12" style="0" width="8.57085020242915"/>
    <col collapsed="false" hidden="false" max="13" min="13" style="0" width="4.06882591093117"/>
    <col collapsed="false" hidden="false" max="1025" min="14" style="0" width="8.57085020242915"/>
  </cols>
  <sheetData>
    <row r="1" customFormat="false" ht="24.45" hidden="false" customHeight="false" outlineLevel="0" collapsed="false">
      <c r="A1" s="2" t="s">
        <v>0</v>
      </c>
      <c r="B1" s="2" t="s">
        <v>1</v>
      </c>
      <c r="C1" s="2" t="s">
        <v>2</v>
      </c>
      <c r="D1" s="2"/>
      <c r="E1" s="2"/>
      <c r="F1" s="2"/>
      <c r="H1" s="1" t="s">
        <v>22</v>
      </c>
      <c r="I1" s="3" t="n">
        <f aca="false">PROMETHEE1($C4,C4)</f>
        <v>0</v>
      </c>
      <c r="J1" s="3" t="n">
        <f aca="false">PROMETHEE1($C4,D4)</f>
        <v>0</v>
      </c>
      <c r="K1" s="3" t="n">
        <f aca="false">PROMETHEE1($C4,E4)</f>
        <v>0</v>
      </c>
      <c r="L1" s="3" t="n">
        <f aca="false">PROMETHEE1($C4,F4)</f>
        <v>0</v>
      </c>
      <c r="N1" s="1" t="s">
        <v>23</v>
      </c>
      <c r="O1" s="3" t="n">
        <f aca="false">PROMETHEE1($C6,C6)</f>
        <v>0</v>
      </c>
      <c r="P1" s="3" t="n">
        <f aca="false">PROMETHEE1($C6,D6)</f>
        <v>1</v>
      </c>
      <c r="Q1" s="3" t="n">
        <f aca="false">PROMETHEE1($C6,E6)</f>
        <v>0</v>
      </c>
      <c r="R1" s="3" t="n">
        <f aca="false">PROMETHEE1($C6,F6)</f>
        <v>0</v>
      </c>
    </row>
    <row r="2" customFormat="false" ht="24.45" hidden="false" customHeight="false" outlineLevel="0" collapsed="false">
      <c r="A2" s="2"/>
      <c r="B2" s="2"/>
      <c r="C2" s="4" t="n">
        <v>1</v>
      </c>
      <c r="D2" s="4" t="n">
        <v>2</v>
      </c>
      <c r="E2" s="4" t="n">
        <v>3</v>
      </c>
      <c r="F2" s="4" t="n">
        <v>4</v>
      </c>
      <c r="H2" s="1"/>
      <c r="I2" s="3" t="n">
        <f aca="false">PROMETHEE1($D4,C4)</f>
        <v>0</v>
      </c>
      <c r="J2" s="3" t="n">
        <f aca="false">PROMETHEE1($D4,D4)</f>
        <v>0</v>
      </c>
      <c r="K2" s="3" t="n">
        <f aca="false">PROMETHEE1($D4,E4)</f>
        <v>0</v>
      </c>
      <c r="L2" s="3" t="n">
        <f aca="false">PROMETHEE1($D4,F4)</f>
        <v>0</v>
      </c>
      <c r="N2" s="1"/>
      <c r="O2" s="3" t="n">
        <f aca="false">PROMETHEE1($D6,C6)</f>
        <v>0</v>
      </c>
      <c r="P2" s="3" t="n">
        <f aca="false">PROMETHEE1($D6,D6)</f>
        <v>0</v>
      </c>
      <c r="Q2" s="3" t="n">
        <f aca="false">PROMETHEE1($D6,E6)</f>
        <v>0</v>
      </c>
      <c r="R2" s="3" t="n">
        <f aca="false">PROMETHEE1($D6,F6)</f>
        <v>0</v>
      </c>
    </row>
    <row r="3" customFormat="false" ht="24.45" hidden="false" customHeight="false" outlineLevel="0" collapsed="false">
      <c r="A3" s="3" t="n">
        <v>1</v>
      </c>
      <c r="B3" s="5" t="s">
        <v>32</v>
      </c>
      <c r="C3" s="13" t="n">
        <v>1</v>
      </c>
      <c r="D3" s="13" t="n">
        <v>2</v>
      </c>
      <c r="E3" s="13" t="n">
        <v>1</v>
      </c>
      <c r="F3" s="13" t="n">
        <v>3</v>
      </c>
      <c r="H3" s="1"/>
      <c r="I3" s="3" t="n">
        <f aca="false">PROMETHEE1($E4,C4)</f>
        <v>0</v>
      </c>
      <c r="J3" s="3" t="n">
        <f aca="false">PROMETHEE1($E4,D4)</f>
        <v>0</v>
      </c>
      <c r="K3" s="3" t="n">
        <f aca="false">PROMETHEE1($E4,E4)</f>
        <v>0</v>
      </c>
      <c r="L3" s="3" t="n">
        <f aca="false">PROMETHEE1($E4,F4)</f>
        <v>0</v>
      </c>
      <c r="N3" s="1"/>
      <c r="O3" s="3" t="n">
        <f aca="false">PROMETHEE1($E6,C6)</f>
        <v>0</v>
      </c>
      <c r="P3" s="3" t="n">
        <f aca="false">PROMETHEE1($E6,D6)</f>
        <v>1</v>
      </c>
      <c r="Q3" s="3" t="n">
        <f aca="false">PROMETHEE1($E6,E6)</f>
        <v>0</v>
      </c>
      <c r="R3" s="3" t="n">
        <f aca="false">PROMETHEE1($E6,F6)</f>
        <v>0</v>
      </c>
    </row>
    <row r="4" customFormat="false" ht="24.45" hidden="false" customHeight="false" outlineLevel="0" collapsed="false">
      <c r="A4" s="3" t="n">
        <v>2</v>
      </c>
      <c r="B4" s="5" t="s">
        <v>28</v>
      </c>
      <c r="C4" s="13" t="n">
        <v>1</v>
      </c>
      <c r="D4" s="13" t="n">
        <v>1</v>
      </c>
      <c r="E4" s="13" t="n">
        <v>1</v>
      </c>
      <c r="F4" s="13" t="n">
        <v>1</v>
      </c>
      <c r="H4" s="1"/>
      <c r="I4" s="3" t="n">
        <f aca="false">PROMETHEE1($F4,C4)</f>
        <v>0</v>
      </c>
      <c r="J4" s="3" t="n">
        <f aca="false">PROMETHEE1($F4,D4)</f>
        <v>0</v>
      </c>
      <c r="K4" s="3" t="n">
        <f aca="false">PROMETHEE1($F4,E4)</f>
        <v>0</v>
      </c>
      <c r="L4" s="3" t="n">
        <f aca="false">PROMETHEE1($F4,F4)</f>
        <v>0</v>
      </c>
      <c r="N4" s="1"/>
      <c r="O4" s="3" t="n">
        <f aca="false">PROMETHEE1($F6,C6)</f>
        <v>0</v>
      </c>
      <c r="P4" s="3" t="n">
        <f aca="false">PROMETHEE1($F6,D6)</f>
        <v>1</v>
      </c>
      <c r="Q4" s="3" t="n">
        <f aca="false">PROMETHEE1($F6,E6)</f>
        <v>0</v>
      </c>
      <c r="R4" s="3" t="n">
        <f aca="false">PROMETHEE1($F6,F6)</f>
        <v>0</v>
      </c>
    </row>
    <row r="5" customFormat="false" ht="24.45" hidden="false" customHeight="false" outlineLevel="0" collapsed="false">
      <c r="A5" s="3" t="n">
        <v>3</v>
      </c>
      <c r="B5" s="5" t="s">
        <v>29</v>
      </c>
      <c r="C5" s="13" t="n">
        <v>2</v>
      </c>
      <c r="D5" s="13" t="n">
        <v>2</v>
      </c>
      <c r="E5" s="13" t="n">
        <v>4</v>
      </c>
      <c r="F5" s="13" t="n">
        <v>4</v>
      </c>
    </row>
    <row r="6" customFormat="false" ht="24.45" hidden="false" customHeight="false" outlineLevel="0" collapsed="false">
      <c r="A6" s="3" t="n">
        <v>4</v>
      </c>
      <c r="B6" s="5" t="s">
        <v>30</v>
      </c>
      <c r="C6" s="13" t="n">
        <v>500</v>
      </c>
      <c r="D6" s="13" t="n">
        <v>128</v>
      </c>
      <c r="E6" s="13" t="n">
        <v>500</v>
      </c>
      <c r="F6" s="13" t="n">
        <v>500</v>
      </c>
      <c r="H6" s="1" t="s">
        <v>24</v>
      </c>
      <c r="I6" s="3" t="n">
        <f aca="false">PROMETHEE1($C5,C5)</f>
        <v>0</v>
      </c>
      <c r="J6" s="3" t="n">
        <f aca="false">PROMETHEE1($C5,D5)</f>
        <v>0</v>
      </c>
      <c r="K6" s="3" t="n">
        <f aca="false">PROMETHEE1($C5,E5)</f>
        <v>0</v>
      </c>
      <c r="L6" s="3" t="n">
        <f aca="false">PROMETHEE1($C5,F5)</f>
        <v>0</v>
      </c>
      <c r="N6" s="1" t="s">
        <v>25</v>
      </c>
      <c r="O6" s="3" t="n">
        <f aca="false">PROMETHEE1($C7,C7)</f>
        <v>0</v>
      </c>
      <c r="P6" s="3" t="n">
        <f aca="false">PROMETHEE1($C7,D7)</f>
        <v>1</v>
      </c>
      <c r="Q6" s="3" t="n">
        <f aca="false">PROMETHEE1($C7,E7)</f>
        <v>0</v>
      </c>
      <c r="R6" s="3" t="n">
        <f aca="false">PROMETHEE1($C7,F7)</f>
        <v>0</v>
      </c>
    </row>
    <row r="7" customFormat="false" ht="24.45" hidden="false" customHeight="false" outlineLevel="0" collapsed="false">
      <c r="A7" s="3" t="n">
        <v>5</v>
      </c>
      <c r="B7" s="5" t="s">
        <v>31</v>
      </c>
      <c r="C7" s="13" t="n">
        <v>12</v>
      </c>
      <c r="D7" s="13" t="n">
        <v>10</v>
      </c>
      <c r="E7" s="13" t="n">
        <v>12</v>
      </c>
      <c r="F7" s="13" t="n">
        <v>12</v>
      </c>
      <c r="H7" s="1"/>
      <c r="I7" s="3" t="n">
        <f aca="false">PROMETHEE1($D5,C5)</f>
        <v>0</v>
      </c>
      <c r="J7" s="3" t="n">
        <f aca="false">PROMETHEE1($D5,D5)</f>
        <v>0</v>
      </c>
      <c r="K7" s="3" t="n">
        <f aca="false">PROMETHEE1($D5,E5)</f>
        <v>0</v>
      </c>
      <c r="L7" s="3" t="n">
        <f aca="false">PROMETHEE1($D5,F5)</f>
        <v>0</v>
      </c>
      <c r="N7" s="1"/>
      <c r="O7" s="3" t="n">
        <f aca="false">PROMETHEE1($D7,C7)</f>
        <v>0</v>
      </c>
      <c r="P7" s="3" t="n">
        <f aca="false">PROMETHEE1($D7,D7)</f>
        <v>0</v>
      </c>
      <c r="Q7" s="3" t="n">
        <f aca="false">PROMETHEE1($D7,E7)</f>
        <v>0</v>
      </c>
      <c r="R7" s="3" t="n">
        <f aca="false">PROMETHEE1($D7,F7)</f>
        <v>0</v>
      </c>
    </row>
    <row r="8" customFormat="false" ht="24.45" hidden="false" customHeight="false" outlineLevel="0" collapsed="false">
      <c r="H8" s="1"/>
      <c r="I8" s="3" t="n">
        <f aca="false">PROMETHEE1($E5,C5)</f>
        <v>1</v>
      </c>
      <c r="J8" s="3" t="n">
        <f aca="false">PROMETHEE1($E5,D5)</f>
        <v>1</v>
      </c>
      <c r="K8" s="3" t="n">
        <f aca="false">PROMETHEE1($E5,E5)</f>
        <v>0</v>
      </c>
      <c r="L8" s="3" t="n">
        <f aca="false">PROMETHEE1($E5,F5)</f>
        <v>0</v>
      </c>
      <c r="N8" s="1"/>
      <c r="O8" s="3" t="n">
        <f aca="false">PROMETHEE1($E7,C7)</f>
        <v>0</v>
      </c>
      <c r="P8" s="3" t="n">
        <f aca="false">PROMETHEE1($E7,D7)</f>
        <v>1</v>
      </c>
      <c r="Q8" s="3" t="n">
        <f aca="false">PROMETHEE1($E7,E7)</f>
        <v>0</v>
      </c>
      <c r="R8" s="3" t="n">
        <f aca="false">PROMETHEE1($E7,F7)</f>
        <v>0</v>
      </c>
    </row>
    <row r="9" customFormat="false" ht="24.45" hidden="false" customHeight="false" outlineLevel="0" collapsed="false">
      <c r="B9" s="1" t="s">
        <v>17</v>
      </c>
      <c r="C9" s="3" t="n">
        <f aca="false">PROMETHEE1($C3,C3)</f>
        <v>0</v>
      </c>
      <c r="D9" s="3" t="n">
        <f aca="false">PROMETHEE1($C3,D3)</f>
        <v>0</v>
      </c>
      <c r="E9" s="3" t="n">
        <f aca="false">PROMETHEE1($C3,E3)</f>
        <v>0</v>
      </c>
      <c r="F9" s="3" t="n">
        <f aca="false">PROMETHEE1($C3,F3)</f>
        <v>0</v>
      </c>
      <c r="H9" s="1"/>
      <c r="I9" s="3" t="n">
        <f aca="false">PROMETHEE1($F5,C5)</f>
        <v>1</v>
      </c>
      <c r="J9" s="3" t="n">
        <f aca="false">PROMETHEE1($F5,D5)</f>
        <v>1</v>
      </c>
      <c r="K9" s="3" t="n">
        <f aca="false">PROMETHEE1($F5,E5)</f>
        <v>0</v>
      </c>
      <c r="L9" s="3" t="n">
        <f aca="false">PROMETHEE1($F5,F5)</f>
        <v>0</v>
      </c>
      <c r="N9" s="1"/>
      <c r="O9" s="3" t="n">
        <f aca="false">PROMETHEE1($F7,C7)</f>
        <v>0</v>
      </c>
      <c r="P9" s="3" t="n">
        <f aca="false">PROMETHEE1($F7,D7)</f>
        <v>1</v>
      </c>
      <c r="Q9" s="3" t="n">
        <f aca="false">PROMETHEE1($F7,E7)</f>
        <v>0</v>
      </c>
      <c r="R9" s="3" t="n">
        <f aca="false">PROMETHEE1($F7,F7)</f>
        <v>0</v>
      </c>
    </row>
    <row r="10" customFormat="false" ht="24.45" hidden="false" customHeight="false" outlineLevel="0" collapsed="false">
      <c r="B10" s="1"/>
      <c r="C10" s="3" t="n">
        <f aca="false">PROMETHEE1($D3,C3)</f>
        <v>1</v>
      </c>
      <c r="D10" s="3" t="n">
        <f aca="false">PROMETHEE1($D3,D3)</f>
        <v>0</v>
      </c>
      <c r="E10" s="3" t="n">
        <f aca="false">PROMETHEE1($D3,E3)</f>
        <v>1</v>
      </c>
      <c r="F10" s="3" t="n">
        <f aca="false">PROMETHEE1($D3,F3)</f>
        <v>0</v>
      </c>
    </row>
    <row r="11" customFormat="false" ht="24.45" hidden="false" customHeight="false" outlineLevel="0" collapsed="false">
      <c r="B11" s="1"/>
      <c r="C11" s="3" t="n">
        <f aca="false">PROMETHEE1($E3,C3)</f>
        <v>0</v>
      </c>
      <c r="D11" s="3" t="n">
        <f aca="false">PROMETHEE1($E3,D3)</f>
        <v>0</v>
      </c>
      <c r="E11" s="3" t="n">
        <f aca="false">PROMETHEE1($E3,E3)</f>
        <v>0</v>
      </c>
      <c r="F11" s="3" t="n">
        <f aca="false">PROMETHEE1($E3,F3)</f>
        <v>0</v>
      </c>
    </row>
    <row r="12" customFormat="false" ht="24.45" hidden="false" customHeight="false" outlineLevel="0" collapsed="false">
      <c r="B12" s="1"/>
      <c r="C12" s="3" t="n">
        <f aca="false">PROMETHEE1($F3,C3)</f>
        <v>1</v>
      </c>
      <c r="D12" s="3" t="n">
        <f aca="false">PROMETHEE1($F3,D3)</f>
        <v>1</v>
      </c>
      <c r="E12" s="3" t="n">
        <f aca="false">PROMETHEE1($F3,E3)</f>
        <v>1</v>
      </c>
      <c r="F12" s="3" t="n">
        <f aca="false">PROMETHEE1($F3,F3)</f>
        <v>0</v>
      </c>
    </row>
    <row r="14" customFormat="false" ht="26.25" hidden="false" customHeight="false" outlineLevel="0" collapsed="false">
      <c r="B14" s="10" t="s">
        <v>21</v>
      </c>
      <c r="C14" s="7" t="s">
        <v>5</v>
      </c>
      <c r="D14" s="7" t="s">
        <v>6</v>
      </c>
      <c r="E14" s="7" t="s">
        <v>7</v>
      </c>
      <c r="F14" s="7" t="s">
        <v>8</v>
      </c>
      <c r="H14" s="3"/>
      <c r="I14" s="7" t="s">
        <v>18</v>
      </c>
      <c r="J14" s="7" t="s">
        <v>19</v>
      </c>
      <c r="K14" s="7" t="s">
        <v>20</v>
      </c>
    </row>
    <row r="15" customFormat="false" ht="24.45" hidden="false" customHeight="false" outlineLevel="0" collapsed="false">
      <c r="B15" s="9" t="s">
        <v>5</v>
      </c>
      <c r="C15" s="3" t="n">
        <f aca="false">1/5*(C9+I1+I6+O1+O6)</f>
        <v>0</v>
      </c>
      <c r="D15" s="3" t="n">
        <f aca="false">1/5*(D9+J1+J6+P1+P6)</f>
        <v>0.4</v>
      </c>
      <c r="E15" s="3" t="n">
        <f aca="false">1/5*(E9+K1+K6+Q1+Q6)</f>
        <v>0</v>
      </c>
      <c r="F15" s="3" t="n">
        <f aca="false">1/5*(F9+L1+L6+R1+R6)</f>
        <v>0</v>
      </c>
      <c r="H15" s="9" t="s">
        <v>5</v>
      </c>
      <c r="I15" s="3" t="n">
        <f aca="false">1/3*SUM(C15:F15)</f>
        <v>0.133333333333333</v>
      </c>
      <c r="J15" s="3" t="n">
        <f aca="false">1/3*SUM(C15:C18)</f>
        <v>0.266666666666667</v>
      </c>
      <c r="K15" s="5" t="n">
        <f aca="false">I15-J15</f>
        <v>-0.133333333333333</v>
      </c>
      <c r="L15" s="11" t="s">
        <v>26</v>
      </c>
    </row>
    <row r="16" customFormat="false" ht="24.45" hidden="false" customHeight="false" outlineLevel="0" collapsed="false">
      <c r="B16" s="9" t="s">
        <v>6</v>
      </c>
      <c r="C16" s="3" t="n">
        <f aca="false">1/5*(C10+I2+I7+O2+O7)</f>
        <v>0.2</v>
      </c>
      <c r="D16" s="3" t="n">
        <f aca="false">1/5*(D10+J2+J7+P2+P7)</f>
        <v>0</v>
      </c>
      <c r="E16" s="3" t="n">
        <f aca="false">1/5*(E10+K2+K7+Q2+Q7)</f>
        <v>0.2</v>
      </c>
      <c r="F16" s="3" t="n">
        <f aca="false">1/5*(F10+L2+L7+R2+R7)</f>
        <v>0</v>
      </c>
      <c r="H16" s="9" t="s">
        <v>6</v>
      </c>
      <c r="I16" s="3" t="n">
        <f aca="false">1/3*SUM(C16:F16)</f>
        <v>0.133333333333333</v>
      </c>
      <c r="J16" s="3" t="n">
        <f aca="false">1/3*SUM(D15:D18)</f>
        <v>0.6</v>
      </c>
      <c r="K16" s="3" t="n">
        <f aca="false">I16-J16</f>
        <v>-0.466666666666667</v>
      </c>
    </row>
    <row r="17" customFormat="false" ht="24.45" hidden="false" customHeight="false" outlineLevel="0" collapsed="false">
      <c r="B17" s="9" t="s">
        <v>7</v>
      </c>
      <c r="C17" s="3" t="n">
        <f aca="false">1/5*(C11+I3+I8+O3+O8)</f>
        <v>0.2</v>
      </c>
      <c r="D17" s="3" t="n">
        <f aca="false">1/5*(D11+J3+J8+P3+P8)</f>
        <v>0.6</v>
      </c>
      <c r="E17" s="3" t="n">
        <f aca="false">1/5*(E11+K3+K8+Q3+Q8)</f>
        <v>0</v>
      </c>
      <c r="F17" s="3" t="n">
        <f aca="false">1/5*(F11+L3+L8+R3+R8)</f>
        <v>0</v>
      </c>
      <c r="H17" s="9" t="s">
        <v>7</v>
      </c>
      <c r="I17" s="3" t="n">
        <f aca="false">1/3*SUM(C17:F17)</f>
        <v>0.266666666666667</v>
      </c>
      <c r="J17" s="3" t="n">
        <f aca="false">1/3*SUM(E15:E18)</f>
        <v>0.133333333333333</v>
      </c>
      <c r="K17" s="3" t="n">
        <f aca="false">I17-J17</f>
        <v>0.133333333333333</v>
      </c>
    </row>
    <row r="18" customFormat="false" ht="24.45" hidden="false" customHeight="false" outlineLevel="0" collapsed="false">
      <c r="B18" s="9" t="s">
        <v>8</v>
      </c>
      <c r="C18" s="3" t="n">
        <f aca="false">1/5*(C12+I4+I9+O4+O9)</f>
        <v>0.4</v>
      </c>
      <c r="D18" s="3" t="n">
        <f aca="false">1/5*(D12+J4+J9+P4+P9)</f>
        <v>0.8</v>
      </c>
      <c r="E18" s="3" t="n">
        <f aca="false">1/5*(E12+K4+K9+Q4+Q9)</f>
        <v>0.2</v>
      </c>
      <c r="F18" s="3" t="n">
        <f aca="false">1/5*(F12+L4+L9+R4+R9)</f>
        <v>0</v>
      </c>
      <c r="H18" s="9" t="s">
        <v>8</v>
      </c>
      <c r="I18" s="3" t="n">
        <f aca="false">1/3*SUM(C18:F18)</f>
        <v>0.466666666666667</v>
      </c>
      <c r="J18" s="3" t="n">
        <f aca="false">1/3*SUM(F15:F18)</f>
        <v>0</v>
      </c>
      <c r="K18" s="3" t="n">
        <f aca="false">I18-J18</f>
        <v>0.466666666666667</v>
      </c>
    </row>
  </sheetData>
  <mergeCells count="3">
    <mergeCell ref="A1:A2"/>
    <mergeCell ref="B1:B2"/>
    <mergeCell ref="C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2017-11-23T12:15:47Z</dcterms:created>
  <dc:creator>Windows User</dc:creator>
  <dc:description/>
  <dc:language>en-US</dc:language>
  <cp:lastModifiedBy/>
  <dcterms:modified xsi:type="dcterms:W3CDTF">2018-03-18T21:22:46Z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